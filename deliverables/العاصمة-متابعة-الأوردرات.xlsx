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أوردرات" sheetId="1" state="visible" r:id="rId3"/>
    <sheet name="القوائم" sheetId="2" state="visible" r:id="rId4"/>
    <sheet name="التحليل" sheetId="3" state="visible" r:id="rId5"/>
    <sheet name="قمع البيع" sheetId="4" state="visible" r:id="rId6"/>
  </sheets>
  <definedNames>
    <definedName function="false" hidden="true" localSheetId="0" name="_xlnm._FilterDatabase" vbProcedure="false">الأوردرات!$A$2:$M$43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<sst xmlns="http://schemas.openxmlformats.org/spreadsheetml/2006/main" count="201" uniqueCount="113">
  <si>
    <t xml:space="preserve">العاصمة — متابعة الأوردرات وأسباب الإلغاء</t>
  </si>
  <si>
    <t xml:space="preserve">م</t>
  </si>
  <si>
    <t xml:space="preserve">تاريخ الطلب</t>
  </si>
  <si>
    <t xml:space="preserve">اسم العميل</t>
  </si>
  <si>
    <t xml:space="preserve">رقم التليفون</t>
  </si>
  <si>
    <t xml:space="preserve">المزود / الشركة</t>
  </si>
  <si>
    <t xml:space="preserve">الخدمة المطلوبة</t>
  </si>
  <si>
    <t xml:space="preserve">مصدر الطلب</t>
  </si>
  <si>
    <t xml:space="preserve">الحالة</t>
  </si>
  <si>
    <t xml:space="preserve">سبب التوقف / الإلغاء</t>
  </si>
  <si>
    <t xml:space="preserve">التفاصيل (بكلامك)</t>
  </si>
  <si>
    <t xml:space="preserve">آخر تواصل</t>
  </si>
  <si>
    <t xml:space="preserve">الخطوة التالية</t>
  </si>
  <si>
    <t xml:space="preserve">المسؤول</t>
  </si>
  <si>
    <t xml:space="preserve">محمد مصطفى</t>
  </si>
  <si>
    <t xml:space="preserve">غير محدد</t>
  </si>
  <si>
    <t xml:space="preserve">الموقع (فورم طلب)</t>
  </si>
  <si>
    <t xml:space="preserve">ملغي</t>
  </si>
  <si>
    <t xml:space="preserve">العميل مش بيرد</t>
  </si>
  <si>
    <t xml:space="preserve">ملغي — مش بيرد لا علينا ولا على الشركة</t>
  </si>
  <si>
    <t xml:space="preserve">محاولة أخيرة برسالة واتساب ثم إقفال الطلب</t>
  </si>
  <si>
    <t xml:space="preserve">محمد إدريس</t>
  </si>
  <si>
    <t xml:space="preserve">الصقر</t>
  </si>
  <si>
    <t xml:space="preserve">السعر غالي</t>
  </si>
  <si>
    <t xml:space="preserve">شاف إن الصقر غالي وقال إنه بيقارن أكتر من عرض — اتبعتله أبواب مصر كبديل</t>
  </si>
  <si>
    <t xml:space="preserve">متابعة على عرض أبواب مصر + سؤاله عن الميزانية المستهدفة</t>
  </si>
  <si>
    <t xml:space="preserve">مهند أبو النصر</t>
  </si>
  <si>
    <t xml:space="preserve">معلّق - سبب خارجي</t>
  </si>
  <si>
    <t xml:space="preserve">مشكلة تشغيلية عند المزود</t>
  </si>
  <si>
    <t xml:space="preserve">شركة WE مش راضية تشغّل لهم النت فالتنفيذ واقف</t>
  </si>
  <si>
    <t xml:space="preserve">تحديد بديل أو موعد جديد وإبلاغ العميل</t>
  </si>
  <si>
    <t xml:space="preserve">دينا أشرف</t>
  </si>
  <si>
    <t xml:space="preserve">كالون</t>
  </si>
  <si>
    <t xml:space="preserve">استفسار فقط</t>
  </si>
  <si>
    <t xml:space="preserve">استفسار فقط بدون نية شراء</t>
  </si>
  <si>
    <t xml:space="preserve">كانت بتستفسر عن كالون من الصقر</t>
  </si>
  <si>
    <t xml:space="preserve">عرض سعر مكتوب + متابعة بعد 3 أيام</t>
  </si>
  <si>
    <t xml:space="preserve">نشوى ممدوح</t>
  </si>
  <si>
    <t xml:space="preserve">بانتظار رد العميل</t>
  </si>
  <si>
    <t xml:space="preserve">كانت بتسأل عن الأسعار وقالت هترد علينا</t>
  </si>
  <si>
    <t xml:space="preserve">متابعة خلال 48 ساعة بعرض واضح</t>
  </si>
  <si>
    <t xml:space="preserve">مصطفى أحمد</t>
  </si>
  <si>
    <t xml:space="preserve">الرفاعي</t>
  </si>
  <si>
    <t xml:space="preserve">مؤجل</t>
  </si>
  <si>
    <t xml:space="preserve">تأجيل / ظروف العميل</t>
  </si>
  <si>
    <t xml:space="preserve">قال هيأجل شوية — كان بينقل، وكان مكلم الرفاعي كمان</t>
  </si>
  <si>
    <t xml:space="preserve">تذكير بعد أسبوعين</t>
  </si>
  <si>
    <t xml:space="preserve">أحمد طرطور</t>
  </si>
  <si>
    <t xml:space="preserve">شاف إن الأسعار غالية</t>
  </si>
  <si>
    <t xml:space="preserve">عرض بديل أرخص أو باقة مخفّضة</t>
  </si>
  <si>
    <t xml:space="preserve">إسلام</t>
  </si>
  <si>
    <t xml:space="preserve">آرت كيتشن</t>
  </si>
  <si>
    <t xml:space="preserve">مطابخ</t>
  </si>
  <si>
    <t xml:space="preserve">مش بيرد</t>
  </si>
  <si>
    <t xml:space="preserve">العميل هو اللي مردّش</t>
  </si>
  <si>
    <t xml:space="preserve">محاولة أخيرة ثم إقفال</t>
  </si>
  <si>
    <t xml:space="preserve">ندى منتصر</t>
  </si>
  <si>
    <t xml:space="preserve">قيد التنفيذ</t>
  </si>
  <si>
    <t xml:space="preserve">لا ينطبق</t>
  </si>
  <si>
    <t xml:space="preserve">جاري تنفيذ التصميم</t>
  </si>
  <si>
    <t xml:space="preserve">متابعة تسليم التصميم وتأكيد التعاقد</t>
  </si>
  <si>
    <t xml:space="preserve">نبيل محمود</t>
  </si>
  <si>
    <t xml:space="preserve">كارتات</t>
  </si>
  <si>
    <t xml:space="preserve">خارج نطاق الخدمة</t>
  </si>
  <si>
    <t xml:space="preserve">خدمة مش من شغلنا</t>
  </si>
  <si>
    <t xml:space="preserve">طلب «كارتات» — حاجة في التلاجة، مش من شغلنا ومش موجودة عند أي شركة عندنا</t>
  </si>
  <si>
    <t xml:space="preserve">قرار: نضيفها للخدمات ولا نعتذر بشكل واضح؟</t>
  </si>
  <si>
    <t xml:space="preserve">جون</t>
  </si>
  <si>
    <t xml:space="preserve">النمر</t>
  </si>
  <si>
    <t xml:space="preserve">سبب التوقف</t>
  </si>
  <si>
    <t xml:space="preserve">المزود</t>
  </si>
  <si>
    <t xml:space="preserve">جديد</t>
  </si>
  <si>
    <t xml:space="preserve">تم التواصل</t>
  </si>
  <si>
    <t xml:space="preserve">تطبيق الموبايل</t>
  </si>
  <si>
    <t xml:space="preserve">أبواب مصر</t>
  </si>
  <si>
    <t xml:space="preserve">واتساب / تليفون</t>
  </si>
  <si>
    <t xml:space="preserve">المزود مش بيرد</t>
  </si>
  <si>
    <t xml:space="preserve">فيسبوك / تسويق</t>
  </si>
  <si>
    <t xml:space="preserve">إحالة عميل</t>
  </si>
  <si>
    <t xml:space="preserve">مكتمل</t>
  </si>
  <si>
    <t xml:space="preserve">الخدمة غير متاحة عند المزودين</t>
  </si>
  <si>
    <t xml:space="preserve">أخرى</t>
  </si>
  <si>
    <t xml:space="preserve">مصر دورز</t>
  </si>
  <si>
    <t xml:space="preserve">راح لمنافس</t>
  </si>
  <si>
    <t xml:space="preserve">ملاحظة: القوائم دي هي اللي بتظهر كقوائم منسدلة في شيت «الأوردرات». تقدر تزوّد بنود جديدة تحت أي عمود.</t>
  </si>
  <si>
    <t xml:space="preserve">تحليل الأوردرات — بيتحدّث لوحده مع أي تعديل في شيت الأوردرات</t>
  </si>
  <si>
    <t xml:space="preserve">إجمالي الطلبات</t>
  </si>
  <si>
    <t xml:space="preserve">الطلبات اللي وصلت لتنفيذ أو اكتمال</t>
  </si>
  <si>
    <t xml:space="preserve">معدل التحويل</t>
  </si>
  <si>
    <t xml:space="preserve">الطلبات الضايعة (ملغي + مش بيرد + استفسار)</t>
  </si>
  <si>
    <t xml:space="preserve">طلبات قابلة للتحويل (بعد استبعاد اللي خارج نطاقنا)</t>
  </si>
  <si>
    <t xml:space="preserve">ملاحظة: مصر دورز شركة مزوّدة (مش عميل) — نطاق تعاملنا معاها صيانة أبوابها فقط، فمش محسوبة في الطلبات.</t>
  </si>
  <si>
    <t xml:space="preserve">التوزيع حسب الحالة</t>
  </si>
  <si>
    <t xml:space="preserve">العدد</t>
  </si>
  <si>
    <t xml:space="preserve">النسبة</t>
  </si>
  <si>
    <t xml:space="preserve">أسباب التوقف / الإلغاء</t>
  </si>
  <si>
    <t xml:space="preserve">الإجمالي</t>
  </si>
  <si>
    <t xml:space="preserve">عدد الطلبات</t>
  </si>
  <si>
    <t xml:space="preserve">اللي وصل تنفيذ</t>
  </si>
  <si>
    <t xml:space="preserve">قمع البيع — من أول زيارة الموقع لحد التنفيذ</t>
  </si>
  <si>
    <t xml:space="preserve">المرحلة</t>
  </si>
  <si>
    <t xml:space="preserve">نسبة الاستمرار</t>
  </si>
  <si>
    <t xml:space="preserve">إزاي بنعرف الرقم ده</t>
  </si>
  <si>
    <t xml:space="preserve">زوّار الموقع</t>
  </si>
  <si>
    <t xml:space="preserve">محتاج تتبّع — مش متركّب لسه</t>
  </si>
  <si>
    <t xml:space="preserve">شافوا صفحة خدمة أو شركة</t>
  </si>
  <si>
    <t xml:space="preserve">فتحوا فورم الطلب</t>
  </si>
  <si>
    <t xml:space="preserve">أرسلوا الطلب (Lead)</t>
  </si>
  <si>
    <t xml:space="preserve">من شيت الأوردرات</t>
  </si>
  <si>
    <t xml:space="preserve">اتواصلنا معاهم فعلاً</t>
  </si>
  <si>
    <t xml:space="preserve">من شيت الأوردرات — عمود آخر تواصل</t>
  </si>
  <si>
    <t xml:space="preserve">وصلوا لتنفيذ أو اكتمال</t>
  </si>
  <si>
    <t xml:space="preserve">الخانات الصفرا دي فاضية عن قصد: مفيش أي أداة تتبّع مركّبة على الموقع دلوقتي، فأرقام الزيارات مش موجودة أصلاً. أول ما نركّب التتبّع هتتملي لوحدها.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</si>
</sst>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E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F1E2E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E2E"/>
        <bgColor rgb="FF333333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1E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9E6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E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46"/>
    <col collapsed="false" customWidth="true" hidden="false" outlineLevel="0" max="11" min="11" style="0" width="14"/>
    <col collapsed="false" customWidth="true" hidden="false" outlineLevel="0" max="12" min="12" style="0" width="30"/>
    <col collapsed="false" customWidth="true" hidden="false" outlineLevel="0" max="13" min="1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33.75" hidden="false" customHeight="true" outlineLevel="0" collapsed="false">
      <c r="A3" s="3" t="n">
        <v>1</v>
      </c>
      <c r="B3" s="4"/>
      <c r="C3" s="4" t="s">
        <v>14</v>
      </c>
      <c r="D3" s="4"/>
      <c r="E3" s="4" t="s">
        <v>15</v>
      </c>
      <c r="F3" s="4"/>
      <c r="G3" s="4" t="s">
        <v>16</v>
      </c>
      <c r="H3" s="4" t="s">
        <v>17</v>
      </c>
      <c r="I3" s="4" t="s">
        <v>18</v>
      </c>
      <c r="J3" s="4" t="s">
        <v>19</v>
      </c>
      <c r="K3" s="4"/>
      <c r="L3" s="4" t="s">
        <v>20</v>
      </c>
      <c r="M3" s="4"/>
    </row>
    <row r="4" customFormat="false" ht="33.75" hidden="false" customHeight="true" outlineLevel="0" collapsed="false">
      <c r="A4" s="3" t="n">
        <v>2</v>
      </c>
      <c r="B4" s="4"/>
      <c r="C4" s="4" t="s">
        <v>21</v>
      </c>
      <c r="D4" s="4"/>
      <c r="E4" s="4" t="s">
        <v>22</v>
      </c>
      <c r="F4" s="4"/>
      <c r="G4" s="4" t="s">
        <v>16</v>
      </c>
      <c r="H4" s="4" t="s">
        <v>17</v>
      </c>
      <c r="I4" s="4" t="s">
        <v>23</v>
      </c>
      <c r="J4" s="4" t="s">
        <v>24</v>
      </c>
      <c r="K4" s="4"/>
      <c r="L4" s="4" t="s">
        <v>25</v>
      </c>
      <c r="M4" s="4"/>
    </row>
    <row r="5" customFormat="false" ht="33.75" hidden="false" customHeight="true" outlineLevel="0" collapsed="false">
      <c r="A5" s="3" t="n">
        <v>3</v>
      </c>
      <c r="B5" s="4"/>
      <c r="C5" s="4" t="s">
        <v>26</v>
      </c>
      <c r="D5" s="4"/>
      <c r="E5" s="4" t="s">
        <v>15</v>
      </c>
      <c r="F5" s="4"/>
      <c r="G5" s="4" t="s">
        <v>16</v>
      </c>
      <c r="H5" s="4" t="s">
        <v>27</v>
      </c>
      <c r="I5" s="4" t="s">
        <v>28</v>
      </c>
      <c r="J5" s="4" t="s">
        <v>29</v>
      </c>
      <c r="K5" s="4"/>
      <c r="L5" s="4" t="s">
        <v>30</v>
      </c>
      <c r="M5" s="4"/>
    </row>
    <row r="6" customFormat="false" ht="33.75" hidden="false" customHeight="true" outlineLevel="0" collapsed="false">
      <c r="A6" s="3" t="n">
        <v>4</v>
      </c>
      <c r="B6" s="4"/>
      <c r="C6" s="4" t="s">
        <v>31</v>
      </c>
      <c r="D6" s="4"/>
      <c r="E6" s="4" t="s">
        <v>22</v>
      </c>
      <c r="F6" s="4" t="s">
        <v>32</v>
      </c>
      <c r="G6" s="4" t="s">
        <v>16</v>
      </c>
      <c r="H6" s="4" t="s">
        <v>33</v>
      </c>
      <c r="I6" s="4" t="s">
        <v>34</v>
      </c>
      <c r="J6" s="4" t="s">
        <v>35</v>
      </c>
      <c r="K6" s="4"/>
      <c r="L6" s="4" t="s">
        <v>36</v>
      </c>
      <c r="M6" s="4"/>
    </row>
    <row r="7" customFormat="false" ht="33.75" hidden="false" customHeight="true" outlineLevel="0" collapsed="false">
      <c r="A7" s="3" t="n">
        <v>5</v>
      </c>
      <c r="B7" s="4"/>
      <c r="C7" s="4" t="s">
        <v>37</v>
      </c>
      <c r="D7" s="4"/>
      <c r="E7" s="4" t="s">
        <v>15</v>
      </c>
      <c r="F7" s="4"/>
      <c r="G7" s="4" t="s">
        <v>16</v>
      </c>
      <c r="H7" s="4" t="s">
        <v>38</v>
      </c>
      <c r="I7" s="4" t="s">
        <v>23</v>
      </c>
      <c r="J7" s="4" t="s">
        <v>39</v>
      </c>
      <c r="K7" s="4"/>
      <c r="L7" s="4" t="s">
        <v>40</v>
      </c>
      <c r="M7" s="4"/>
    </row>
    <row r="8" customFormat="false" ht="33.75" hidden="false" customHeight="true" outlineLevel="0" collapsed="false">
      <c r="A8" s="3" t="n">
        <v>6</v>
      </c>
      <c r="B8" s="4"/>
      <c r="C8" s="4" t="s">
        <v>41</v>
      </c>
      <c r="D8" s="4"/>
      <c r="E8" s="4" t="s">
        <v>42</v>
      </c>
      <c r="F8" s="4"/>
      <c r="G8" s="4" t="s">
        <v>16</v>
      </c>
      <c r="H8" s="4" t="s">
        <v>43</v>
      </c>
      <c r="I8" s="4" t="s">
        <v>44</v>
      </c>
      <c r="J8" s="4" t="s">
        <v>45</v>
      </c>
      <c r="K8" s="4"/>
      <c r="L8" s="4" t="s">
        <v>46</v>
      </c>
      <c r="M8" s="4"/>
    </row>
    <row r="9" customFormat="false" ht="33.75" hidden="false" customHeight="true" outlineLevel="0" collapsed="false">
      <c r="A9" s="3" t="n">
        <v>7</v>
      </c>
      <c r="B9" s="4"/>
      <c r="C9" s="4" t="s">
        <v>47</v>
      </c>
      <c r="D9" s="4"/>
      <c r="E9" s="4" t="s">
        <v>15</v>
      </c>
      <c r="F9" s="4"/>
      <c r="G9" s="4" t="s">
        <v>16</v>
      </c>
      <c r="H9" s="4" t="s">
        <v>17</v>
      </c>
      <c r="I9" s="4" t="s">
        <v>23</v>
      </c>
      <c r="J9" s="4" t="s">
        <v>48</v>
      </c>
      <c r="K9" s="4"/>
      <c r="L9" s="4" t="s">
        <v>49</v>
      </c>
      <c r="M9" s="4"/>
    </row>
    <row r="10" customFormat="false" ht="33.75" hidden="false" customHeight="true" outlineLevel="0" collapsed="false">
      <c r="A10" s="3" t="n">
        <v>8</v>
      </c>
      <c r="B10" s="4"/>
      <c r="C10" s="4" t="s">
        <v>50</v>
      </c>
      <c r="D10" s="4"/>
      <c r="E10" s="4" t="s">
        <v>51</v>
      </c>
      <c r="F10" s="4" t="s">
        <v>52</v>
      </c>
      <c r="G10" s="4" t="s">
        <v>16</v>
      </c>
      <c r="H10" s="4" t="s">
        <v>53</v>
      </c>
      <c r="I10" s="4" t="s">
        <v>18</v>
      </c>
      <c r="J10" s="4" t="s">
        <v>54</v>
      </c>
      <c r="K10" s="4"/>
      <c r="L10" s="4" t="s">
        <v>55</v>
      </c>
      <c r="M10" s="4"/>
    </row>
    <row r="11" customFormat="false" ht="33.75" hidden="false" customHeight="true" outlineLevel="0" collapsed="false">
      <c r="A11" s="3" t="n">
        <v>9</v>
      </c>
      <c r="B11" s="4"/>
      <c r="C11" s="4" t="s">
        <v>56</v>
      </c>
      <c r="D11" s="4"/>
      <c r="E11" s="4" t="s">
        <v>51</v>
      </c>
      <c r="F11" s="4" t="s">
        <v>52</v>
      </c>
      <c r="G11" s="4" t="s">
        <v>16</v>
      </c>
      <c r="H11" s="4" t="s">
        <v>57</v>
      </c>
      <c r="I11" s="4" t="s">
        <v>58</v>
      </c>
      <c r="J11" s="4" t="s">
        <v>59</v>
      </c>
      <c r="K11" s="4"/>
      <c r="L11" s="4" t="s">
        <v>60</v>
      </c>
      <c r="M11" s="4"/>
    </row>
    <row r="12" customFormat="false" ht="33.75" hidden="false" customHeight="true" outlineLevel="0" collapsed="false">
      <c r="A12" s="3" t="n">
        <v>10</v>
      </c>
      <c r="B12" s="4"/>
      <c r="C12" s="4" t="s">
        <v>61</v>
      </c>
      <c r="D12" s="4"/>
      <c r="E12" s="4" t="s">
        <v>42</v>
      </c>
      <c r="F12" s="4" t="s">
        <v>62</v>
      </c>
      <c r="G12" s="4" t="s">
        <v>16</v>
      </c>
      <c r="H12" s="4" t="s">
        <v>63</v>
      </c>
      <c r="I12" s="4" t="s">
        <v>64</v>
      </c>
      <c r="J12" s="4" t="s">
        <v>65</v>
      </c>
      <c r="K12" s="4"/>
      <c r="L12" s="4" t="s">
        <v>66</v>
      </c>
      <c r="M12" s="4"/>
    </row>
    <row r="13" customFormat="false" ht="33.75" hidden="false" customHeight="true" outlineLevel="0" collapsed="false">
      <c r="A13" s="3" t="n">
        <v>11</v>
      </c>
      <c r="B13" s="4"/>
      <c r="C13" s="4" t="s">
        <v>67</v>
      </c>
      <c r="D13" s="4"/>
      <c r="E13" s="4" t="s">
        <v>68</v>
      </c>
      <c r="F13" s="4"/>
      <c r="G13" s="4" t="s">
        <v>16</v>
      </c>
      <c r="H13" s="4" t="s">
        <v>53</v>
      </c>
      <c r="I13" s="4" t="s">
        <v>18</v>
      </c>
      <c r="J13" s="4" t="s">
        <v>53</v>
      </c>
      <c r="K13" s="4"/>
      <c r="L13" s="4" t="s">
        <v>55</v>
      </c>
      <c r="M13" s="4"/>
    </row>
    <row r="14" customFormat="false" ht="15" hidden="false" customHeight="false" outlineLevel="0" collapsed="false">
      <c r="A14" s="4" t="n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A15" s="4" t="n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15" hidden="false" customHeight="false" outlineLevel="0" collapsed="false">
      <c r="A16" s="4" t="n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15" hidden="false" customHeight="false" outlineLevel="0" collapsed="false">
      <c r="A17" s="4" t="n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5" hidden="false" customHeight="false" outlineLevel="0" collapsed="false">
      <c r="A18" s="4" t="n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4" t="n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customFormat="false" ht="15" hidden="false" customHeight="false" outlineLevel="0" collapsed="false">
      <c r="A20" s="4" t="n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15" hidden="false" customHeight="false" outlineLevel="0" collapsed="false">
      <c r="A21" s="4" t="n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15" hidden="false" customHeight="false" outlineLevel="0" collapsed="false">
      <c r="A22" s="4" t="n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customFormat="false" ht="15" hidden="false" customHeight="false" outlineLevel="0" collapsed="false">
      <c r="A23" s="4" t="n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15" hidden="false" customHeight="false" outlineLevel="0" collapsed="false">
      <c r="A24" s="4" t="n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" hidden="false" customHeight="false" outlineLevel="0" collapsed="false">
      <c r="A25" s="4" t="n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5" hidden="false" customHeight="false" outlineLevel="0" collapsed="false">
      <c r="A26" s="4" t="n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customFormat="false" ht="15" hidden="false" customHeight="false" outlineLevel="0" collapsed="false">
      <c r="A27" s="4" t="n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customFormat="false" ht="15" hidden="false" customHeight="false" outlineLevel="0" collapsed="false">
      <c r="A28" s="4" t="n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5" hidden="false" customHeight="false" outlineLevel="0" collapsed="false">
      <c r="A29" s="4" t="n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customFormat="false" ht="15" hidden="false" customHeight="false" outlineLevel="0" collapsed="false">
      <c r="A30" s="4" t="n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customFormat="false" ht="15" hidden="false" customHeight="false" outlineLevel="0" collapsed="false">
      <c r="A31" s="4" t="n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customFormat="false" ht="15" hidden="false" customHeight="false" outlineLevel="0" collapsed="false">
      <c r="A32" s="4" t="n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customFormat="false" ht="15" hidden="false" customHeight="false" outlineLevel="0" collapsed="false">
      <c r="A33" s="4" t="n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5" hidden="false" customHeight="false" outlineLevel="0" collapsed="false">
      <c r="A34" s="4" t="n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15" hidden="false" customHeight="false" outlineLevel="0" collapsed="false">
      <c r="A35" s="4" t="n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15" hidden="false" customHeight="false" outlineLevel="0" collapsed="false">
      <c r="A36" s="4" t="n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5" hidden="false" customHeight="false" outlineLevel="0" collapsed="false">
      <c r="A37" s="4" t="n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15" hidden="false" customHeight="false" outlineLevel="0" collapsed="false">
      <c r="A38" s="4" t="n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customFormat="false" ht="15" hidden="false" customHeight="false" outlineLevel="0" collapsed="false">
      <c r="A39" s="4" t="n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15" hidden="false" customHeight="false" outlineLevel="0" collapsed="false">
      <c r="A40" s="4" t="n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5" hidden="false" customHeight="false" outlineLevel="0" collapsed="false">
      <c r="A41" s="4" t="n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15" hidden="false" customHeight="false" outlineLevel="0" collapsed="false">
      <c r="A42" s="4" t="n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15" hidden="false" customHeight="false" outlineLevel="0" collapsed="false">
      <c r="A43" s="4" t="n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</sheetData>
  <autoFilter ref="A2:M43"/>
  <mergeCells count="1">
    <mergeCell ref="A1:M1"/>
  </mergeCells>
  <dataValidations count="4">
    <dataValidation allowBlank="true" errorStyle="stop" operator="between" showDropDown="false" showErrorMessage="false" showInputMessage="false" sqref="H3:H43" type="list">
      <formula1>القوائم!$A$2:$A$12</formula1>
      <formula2>0</formula2>
    </dataValidation>
    <dataValidation allowBlank="true" errorStyle="stop" operator="between" showDropDown="false" showErrorMessage="false" showInputMessage="false" sqref="I3:I43" type="list">
      <formula1>القوائم!$B$2:$B$12</formula1>
      <formula2>0</formula2>
    </dataValidation>
    <dataValidation allowBlank="true" errorStyle="stop" operator="between" showDropDown="false" showErrorMessage="false" showInputMessage="false" sqref="G3:G43" type="list">
      <formula1>القوائم!$C$2:$C$7</formula1>
      <formula2>0</formula2>
    </dataValidation>
    <dataValidation allowBlank="true" errorStyle="stop" operator="between" showDropDown="false" showErrorMessage="false" showInputMessage="false" sqref="E3:E43" type="list">
      <formula1>القوائم!$D$2:$D$9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2" t="s">
        <v>8</v>
      </c>
      <c r="B1" s="2" t="s">
        <v>69</v>
      </c>
      <c r="C1" s="2" t="s">
        <v>7</v>
      </c>
      <c r="D1" s="2" t="s">
        <v>70</v>
      </c>
    </row>
    <row r="2" customFormat="false" ht="15" hidden="false" customHeight="false" outlineLevel="0" collapsed="false">
      <c r="A2" s="4" t="s">
        <v>71</v>
      </c>
      <c r="B2" s="4" t="s">
        <v>58</v>
      </c>
      <c r="C2" s="4" t="s">
        <v>16</v>
      </c>
      <c r="D2" s="4" t="s">
        <v>22</v>
      </c>
    </row>
    <row r="3" customFormat="false" ht="15" hidden="false" customHeight="false" outlineLevel="0" collapsed="false">
      <c r="A3" s="4" t="s">
        <v>72</v>
      </c>
      <c r="B3" s="4" t="s">
        <v>23</v>
      </c>
      <c r="C3" s="4" t="s">
        <v>73</v>
      </c>
      <c r="D3" s="4" t="s">
        <v>74</v>
      </c>
    </row>
    <row r="4" customFormat="false" ht="15" hidden="false" customHeight="false" outlineLevel="0" collapsed="false">
      <c r="A4" s="4" t="s">
        <v>38</v>
      </c>
      <c r="B4" s="4" t="s">
        <v>18</v>
      </c>
      <c r="C4" s="4" t="s">
        <v>75</v>
      </c>
      <c r="D4" s="4" t="s">
        <v>51</v>
      </c>
    </row>
    <row r="5" customFormat="false" ht="15" hidden="false" customHeight="false" outlineLevel="0" collapsed="false">
      <c r="A5" s="4" t="s">
        <v>53</v>
      </c>
      <c r="B5" s="4" t="s">
        <v>76</v>
      </c>
      <c r="C5" s="4" t="s">
        <v>77</v>
      </c>
      <c r="D5" s="4" t="s">
        <v>42</v>
      </c>
    </row>
    <row r="6" customFormat="false" ht="15" hidden="false" customHeight="false" outlineLevel="0" collapsed="false">
      <c r="A6" s="4" t="s">
        <v>57</v>
      </c>
      <c r="B6" s="4" t="s">
        <v>64</v>
      </c>
      <c r="C6" s="4" t="s">
        <v>78</v>
      </c>
      <c r="D6" s="4" t="s">
        <v>68</v>
      </c>
    </row>
    <row r="7" customFormat="false" ht="15" hidden="false" customHeight="false" outlineLevel="0" collapsed="false">
      <c r="A7" s="4" t="s">
        <v>79</v>
      </c>
      <c r="B7" s="4" t="s">
        <v>80</v>
      </c>
      <c r="C7" s="4" t="s">
        <v>81</v>
      </c>
      <c r="D7" s="4" t="s">
        <v>82</v>
      </c>
    </row>
    <row r="8" customFormat="false" ht="15" hidden="false" customHeight="false" outlineLevel="0" collapsed="false">
      <c r="A8" s="4" t="s">
        <v>43</v>
      </c>
      <c r="B8" s="4" t="s">
        <v>83</v>
      </c>
      <c r="D8" s="4" t="s">
        <v>15</v>
      </c>
    </row>
    <row r="9" customFormat="false" ht="15" hidden="false" customHeight="false" outlineLevel="0" collapsed="false">
      <c r="A9" s="4" t="s">
        <v>17</v>
      </c>
      <c r="B9" s="4" t="s">
        <v>44</v>
      </c>
      <c r="D9" s="4" t="s">
        <v>81</v>
      </c>
    </row>
    <row r="10" customFormat="false" ht="15" hidden="false" customHeight="false" outlineLevel="0" collapsed="false">
      <c r="A10" s="4" t="s">
        <v>33</v>
      </c>
      <c r="B10" s="4" t="s">
        <v>28</v>
      </c>
    </row>
    <row r="11" customFormat="false" ht="15" hidden="false" customHeight="false" outlineLevel="0" collapsed="false">
      <c r="A11" s="4" t="s">
        <v>27</v>
      </c>
      <c r="B11" s="4" t="s">
        <v>34</v>
      </c>
    </row>
    <row r="12" customFormat="false" ht="15" hidden="false" customHeight="false" outlineLevel="0" collapsed="false">
      <c r="A12" s="4" t="s">
        <v>63</v>
      </c>
      <c r="B12" s="4" t="s">
        <v>81</v>
      </c>
    </row>
    <row r="14" customFormat="false" ht="15" hidden="false" customHeight="false" outlineLevel="0" collapsed="false">
      <c r="A14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4"/>
    <col collapsed="false" customWidth="true" hidden="false" outlineLevel="0" max="5" min="5" style="0" width="32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1" t="s">
        <v>85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7" t="s">
        <v>86</v>
      </c>
      <c r="B3" s="8" t="n">
        <f aca="false">COUNTA(الأوردرات!$C$3:$C$43)</f>
        <v>11</v>
      </c>
    </row>
    <row r="4" customFormat="false" ht="15" hidden="false" customHeight="false" outlineLevel="0" collapsed="false">
      <c r="A4" s="9" t="s">
        <v>87</v>
      </c>
      <c r="B4" s="9" t="n">
        <f aca="false">COUNTIF(الأوردرات!$H$3:$H$43,"قيد التنفيذ")+COUNTIF(الأوردرات!$H$3:$H$43,"مكتمل")</f>
        <v>1</v>
      </c>
    </row>
    <row r="5" customFormat="false" ht="15" hidden="false" customHeight="false" outlineLevel="0" collapsed="false">
      <c r="A5" s="7" t="s">
        <v>88</v>
      </c>
      <c r="B5" s="10" t="n">
        <f aca="false">IFERROR(B4/B3,0)</f>
        <v>0.0909090909090909</v>
      </c>
    </row>
    <row r="6" customFormat="false" ht="15" hidden="false" customHeight="false" outlineLevel="0" collapsed="false">
      <c r="A6" s="9" t="s">
        <v>89</v>
      </c>
      <c r="B6" s="9" t="n">
        <f aca="false">COUNTIF(الأوردرات!$H$3:$H$43,"ملغي")+COUNTIF(الأوردرات!$H$3:$H$43,"مش بيرد")+COUNTIF(الأوردرات!$H$3:$H$43,"استفسار فقط")</f>
        <v>6</v>
      </c>
    </row>
    <row r="7" customFormat="false" ht="15" hidden="false" customHeight="false" outlineLevel="0" collapsed="false">
      <c r="A7" s="9" t="s">
        <v>90</v>
      </c>
      <c r="B7" s="9" t="n">
        <f aca="false">B3-COUNTIF(الأوردرات!$H$3:$H$43,"خارج نطاق الخدمة")</f>
        <v>10</v>
      </c>
    </row>
    <row r="8" customFormat="false" ht="15" hidden="false" customHeight="false" outlineLevel="0" collapsed="false">
      <c r="A8" s="11" t="s">
        <v>91</v>
      </c>
    </row>
    <row r="10" customFormat="false" ht="15" hidden="false" customHeight="false" outlineLevel="0" collapsed="false">
      <c r="A10" s="2" t="s">
        <v>92</v>
      </c>
      <c r="B10" s="2" t="s">
        <v>93</v>
      </c>
      <c r="C10" s="2" t="s">
        <v>94</v>
      </c>
      <c r="E10" s="2" t="s">
        <v>95</v>
      </c>
      <c r="F10" s="2" t="s">
        <v>93</v>
      </c>
      <c r="G10" s="2" t="s">
        <v>94</v>
      </c>
    </row>
    <row r="11" customFormat="false" ht="15" hidden="false" customHeight="false" outlineLevel="0" collapsed="false">
      <c r="A11" s="4" t="s">
        <v>71</v>
      </c>
      <c r="B11" s="3" t="n">
        <f aca="false">COUNTIF(الأوردرات!$H$3:$H$43,A11)</f>
        <v>0</v>
      </c>
      <c r="C11" s="12" t="n">
        <f aca="false">IFERROR(B11/$B$3,0)</f>
        <v>0</v>
      </c>
      <c r="E11" s="4" t="s">
        <v>58</v>
      </c>
      <c r="F11" s="3" t="n">
        <f aca="false">COUNTIF(الأوردرات!$I$3:$I$43,E11)</f>
        <v>1</v>
      </c>
      <c r="G11" s="12" t="n">
        <f aca="false">IFERROR(F11/$B$3,0)</f>
        <v>0.0909090909090909</v>
      </c>
    </row>
    <row r="12" customFormat="false" ht="15" hidden="false" customHeight="false" outlineLevel="0" collapsed="false">
      <c r="A12" s="4" t="s">
        <v>72</v>
      </c>
      <c r="B12" s="3" t="n">
        <f aca="false">COUNTIF(الأوردرات!$H$3:$H$43,A12)</f>
        <v>0</v>
      </c>
      <c r="C12" s="12" t="n">
        <f aca="false">IFERROR(B12/$B$3,0)</f>
        <v>0</v>
      </c>
      <c r="E12" s="4" t="s">
        <v>23</v>
      </c>
      <c r="F12" s="3" t="n">
        <f aca="false">COUNTIF(الأوردرات!$I$3:$I$43,E12)</f>
        <v>3</v>
      </c>
      <c r="G12" s="12" t="n">
        <f aca="false">IFERROR(F12/$B$3,0)</f>
        <v>0.272727272727273</v>
      </c>
    </row>
    <row r="13" customFormat="false" ht="15" hidden="false" customHeight="false" outlineLevel="0" collapsed="false">
      <c r="A13" s="4" t="s">
        <v>38</v>
      </c>
      <c r="B13" s="3" t="n">
        <f aca="false">COUNTIF(الأوردرات!$H$3:$H$43,A13)</f>
        <v>1</v>
      </c>
      <c r="C13" s="12" t="n">
        <f aca="false">IFERROR(B13/$B$3,0)</f>
        <v>0.0909090909090909</v>
      </c>
      <c r="E13" s="4" t="s">
        <v>18</v>
      </c>
      <c r="F13" s="3" t="n">
        <f aca="false">COUNTIF(الأوردرات!$I$3:$I$43,E13)</f>
        <v>3</v>
      </c>
      <c r="G13" s="12" t="n">
        <f aca="false">IFERROR(F13/$B$3,0)</f>
        <v>0.272727272727273</v>
      </c>
    </row>
    <row r="14" customFormat="false" ht="15" hidden="false" customHeight="false" outlineLevel="0" collapsed="false">
      <c r="A14" s="4" t="s">
        <v>53</v>
      </c>
      <c r="B14" s="3" t="n">
        <f aca="false">COUNTIF(الأوردرات!$H$3:$H$43,A14)</f>
        <v>2</v>
      </c>
      <c r="C14" s="12" t="n">
        <f aca="false">IFERROR(B14/$B$3,0)</f>
        <v>0.181818181818182</v>
      </c>
      <c r="E14" s="4" t="s">
        <v>76</v>
      </c>
      <c r="F14" s="3" t="n">
        <f aca="false">COUNTIF(الأوردرات!$I$3:$I$43,E14)</f>
        <v>0</v>
      </c>
      <c r="G14" s="12" t="n">
        <f aca="false">IFERROR(F14/$B$3,0)</f>
        <v>0</v>
      </c>
    </row>
    <row r="15" customFormat="false" ht="15" hidden="false" customHeight="false" outlineLevel="0" collapsed="false">
      <c r="A15" s="4" t="s">
        <v>57</v>
      </c>
      <c r="B15" s="3" t="n">
        <f aca="false">COUNTIF(الأوردرات!$H$3:$H$43,A15)</f>
        <v>1</v>
      </c>
      <c r="C15" s="12" t="n">
        <f aca="false">IFERROR(B15/$B$3,0)</f>
        <v>0.0909090909090909</v>
      </c>
      <c r="E15" s="4" t="s">
        <v>64</v>
      </c>
      <c r="F15" s="3" t="n">
        <f aca="false">COUNTIF(الأوردرات!$I$3:$I$43,E15)</f>
        <v>1</v>
      </c>
      <c r="G15" s="12" t="n">
        <f aca="false">IFERROR(F15/$B$3,0)</f>
        <v>0.0909090909090909</v>
      </c>
    </row>
    <row r="16" customFormat="false" ht="15" hidden="false" customHeight="false" outlineLevel="0" collapsed="false">
      <c r="A16" s="4" t="s">
        <v>79</v>
      </c>
      <c r="B16" s="3" t="n">
        <f aca="false">COUNTIF(الأوردرات!$H$3:$H$43,A16)</f>
        <v>0</v>
      </c>
      <c r="C16" s="12" t="n">
        <f aca="false">IFERROR(B16/$B$3,0)</f>
        <v>0</v>
      </c>
      <c r="E16" s="4" t="s">
        <v>80</v>
      </c>
      <c r="F16" s="3" t="n">
        <f aca="false">COUNTIF(الأوردرات!$I$3:$I$43,E16)</f>
        <v>0</v>
      </c>
      <c r="G16" s="12" t="n">
        <f aca="false">IFERROR(F16/$B$3,0)</f>
        <v>0</v>
      </c>
    </row>
    <row r="17" customFormat="false" ht="15" hidden="false" customHeight="false" outlineLevel="0" collapsed="false">
      <c r="A17" s="4" t="s">
        <v>43</v>
      </c>
      <c r="B17" s="3" t="n">
        <f aca="false">COUNTIF(الأوردرات!$H$3:$H$43,A17)</f>
        <v>1</v>
      </c>
      <c r="C17" s="12" t="n">
        <f aca="false">IFERROR(B17/$B$3,0)</f>
        <v>0.0909090909090909</v>
      </c>
      <c r="E17" s="4" t="s">
        <v>83</v>
      </c>
      <c r="F17" s="3" t="n">
        <f aca="false">COUNTIF(الأوردرات!$I$3:$I$43,E17)</f>
        <v>0</v>
      </c>
      <c r="G17" s="12" t="n">
        <f aca="false">IFERROR(F17/$B$3,0)</f>
        <v>0</v>
      </c>
    </row>
    <row r="18" customFormat="false" ht="15" hidden="false" customHeight="false" outlineLevel="0" collapsed="false">
      <c r="A18" s="4" t="s">
        <v>17</v>
      </c>
      <c r="B18" s="3" t="n">
        <f aca="false">COUNTIF(الأوردرات!$H$3:$H$43,A18)</f>
        <v>3</v>
      </c>
      <c r="C18" s="12" t="n">
        <f aca="false">IFERROR(B18/$B$3,0)</f>
        <v>0.272727272727273</v>
      </c>
      <c r="E18" s="4" t="s">
        <v>44</v>
      </c>
      <c r="F18" s="3" t="n">
        <f aca="false">COUNTIF(الأوردرات!$I$3:$I$43,E18)</f>
        <v>1</v>
      </c>
      <c r="G18" s="12" t="n">
        <f aca="false">IFERROR(F18/$B$3,0)</f>
        <v>0.0909090909090909</v>
      </c>
    </row>
    <row r="19" customFormat="false" ht="15" hidden="false" customHeight="false" outlineLevel="0" collapsed="false">
      <c r="A19" s="4" t="s">
        <v>33</v>
      </c>
      <c r="B19" s="3" t="n">
        <f aca="false">COUNTIF(الأوردرات!$H$3:$H$43,A19)</f>
        <v>1</v>
      </c>
      <c r="C19" s="12" t="n">
        <f aca="false">IFERROR(B19/$B$3,0)</f>
        <v>0.0909090909090909</v>
      </c>
      <c r="E19" s="4" t="s">
        <v>28</v>
      </c>
      <c r="F19" s="3" t="n">
        <f aca="false">COUNTIF(الأوردرات!$I$3:$I$43,E19)</f>
        <v>1</v>
      </c>
      <c r="G19" s="12" t="n">
        <f aca="false">IFERROR(F19/$B$3,0)</f>
        <v>0.0909090909090909</v>
      </c>
    </row>
    <row r="20" customFormat="false" ht="15" hidden="false" customHeight="false" outlineLevel="0" collapsed="false">
      <c r="A20" s="4" t="s">
        <v>27</v>
      </c>
      <c r="B20" s="3" t="n">
        <f aca="false">COUNTIF(الأوردرات!$H$3:$H$43,A20)</f>
        <v>1</v>
      </c>
      <c r="C20" s="12" t="n">
        <f aca="false">IFERROR(B20/$B$3,0)</f>
        <v>0.0909090909090909</v>
      </c>
      <c r="E20" s="4" t="s">
        <v>34</v>
      </c>
      <c r="F20" s="3" t="n">
        <f aca="false">COUNTIF(الأوردرات!$I$3:$I$43,E20)</f>
        <v>1</v>
      </c>
      <c r="G20" s="12" t="n">
        <f aca="false">IFERROR(F20/$B$3,0)</f>
        <v>0.0909090909090909</v>
      </c>
    </row>
    <row r="21" customFormat="false" ht="15" hidden="false" customHeight="false" outlineLevel="0" collapsed="false">
      <c r="A21" s="4" t="s">
        <v>63</v>
      </c>
      <c r="B21" s="3" t="n">
        <f aca="false">COUNTIF(الأوردرات!$H$3:$H$43,A21)</f>
        <v>1</v>
      </c>
      <c r="C21" s="12" t="n">
        <f aca="false">IFERROR(B21/$B$3,0)</f>
        <v>0.0909090909090909</v>
      </c>
      <c r="E21" s="4" t="s">
        <v>81</v>
      </c>
      <c r="F21" s="3" t="n">
        <f aca="false">COUNTIF(الأوردرات!$I$3:$I$43,E21)</f>
        <v>0</v>
      </c>
      <c r="G21" s="12" t="n">
        <f aca="false">IFERROR(F21/$B$3,0)</f>
        <v>0</v>
      </c>
    </row>
    <row r="22" customFormat="false" ht="15" hidden="false" customHeight="false" outlineLevel="0" collapsed="false">
      <c r="A22" s="13" t="s">
        <v>96</v>
      </c>
      <c r="B22" s="14" t="n">
        <f aca="false">SUM(B11:B21)</f>
        <v>11</v>
      </c>
    </row>
    <row r="25" customFormat="false" ht="15" hidden="false" customHeight="false" outlineLevel="0" collapsed="false">
      <c r="A25" s="2" t="s">
        <v>5</v>
      </c>
      <c r="B25" s="2" t="s">
        <v>97</v>
      </c>
      <c r="C25" s="2" t="s">
        <v>98</v>
      </c>
    </row>
    <row r="26" customFormat="false" ht="15" hidden="false" customHeight="false" outlineLevel="0" collapsed="false">
      <c r="A26" s="4" t="s">
        <v>22</v>
      </c>
      <c r="B26" s="3" t="n">
        <f aca="false">COUNTIF(الأوردرات!$E$3:$E$43,A26)</f>
        <v>2</v>
      </c>
      <c r="C26" s="3" t="n">
        <f aca="false">COUNTIFS(الأوردرات!$E$3:$E$43,A26,الأوردرات!$H$3:$H$43,"قيد التنفيذ")+COUNTIFS(الأوردرات!$E$3:$E$43,A26,الأوردرات!$H$3:$H$43,"مكتمل")</f>
        <v>0</v>
      </c>
    </row>
    <row r="27" customFormat="false" ht="15" hidden="false" customHeight="false" outlineLevel="0" collapsed="false">
      <c r="A27" s="4" t="s">
        <v>74</v>
      </c>
      <c r="B27" s="3" t="n">
        <f aca="false">COUNTIF(الأوردرات!$E$3:$E$43,A27)</f>
        <v>0</v>
      </c>
      <c r="C27" s="3" t="n">
        <f aca="false">COUNTIFS(الأوردرات!$E$3:$E$43,A27,الأوردرات!$H$3:$H$43,"قيد التنفيذ")+COUNTIFS(الأوردرات!$E$3:$E$43,A27,الأوردرات!$H$3:$H$43,"مكتمل")</f>
        <v>0</v>
      </c>
    </row>
    <row r="28" customFormat="false" ht="15" hidden="false" customHeight="false" outlineLevel="0" collapsed="false">
      <c r="A28" s="4" t="s">
        <v>51</v>
      </c>
      <c r="B28" s="3" t="n">
        <f aca="false">COUNTIF(الأوردرات!$E$3:$E$43,A28)</f>
        <v>2</v>
      </c>
      <c r="C28" s="3" t="n">
        <f aca="false">COUNTIFS(الأوردرات!$E$3:$E$43,A28,الأوردرات!$H$3:$H$43,"قيد التنفيذ")+COUNTIFS(الأوردرات!$E$3:$E$43,A28,الأوردرات!$H$3:$H$43,"مكتمل")</f>
        <v>1</v>
      </c>
    </row>
    <row r="29" customFormat="false" ht="15" hidden="false" customHeight="false" outlineLevel="0" collapsed="false">
      <c r="A29" s="4" t="s">
        <v>42</v>
      </c>
      <c r="B29" s="3" t="n">
        <f aca="false">COUNTIF(الأوردرات!$E$3:$E$43,A29)</f>
        <v>2</v>
      </c>
      <c r="C29" s="3" t="n">
        <f aca="false">COUNTIFS(الأوردرات!$E$3:$E$43,A29,الأوردرات!$H$3:$H$43,"قيد التنفيذ")+COUNTIFS(الأوردرات!$E$3:$E$43,A29,الأوردرات!$H$3:$H$43,"مكتمل")</f>
        <v>0</v>
      </c>
    </row>
    <row r="30" customFormat="false" ht="15" hidden="false" customHeight="false" outlineLevel="0" collapsed="false">
      <c r="A30" s="4" t="s">
        <v>68</v>
      </c>
      <c r="B30" s="3" t="n">
        <f aca="false">COUNTIF(الأوردرات!$E$3:$E$43,A30)</f>
        <v>1</v>
      </c>
      <c r="C30" s="3" t="n">
        <f aca="false">COUNTIFS(الأوردرات!$E$3:$E$43,A30,الأوردرات!$H$3:$H$43,"قيد التنفيذ")+COUNTIFS(الأوردرات!$E$3:$E$43,A30,الأوردرات!$H$3:$H$43,"مكتمل")</f>
        <v>0</v>
      </c>
    </row>
    <row r="31" customFormat="false" ht="15" hidden="false" customHeight="false" outlineLevel="0" collapsed="false">
      <c r="A31" s="4" t="s">
        <v>82</v>
      </c>
      <c r="B31" s="3" t="n">
        <f aca="false">COUNTIF(الأوردرات!$E$3:$E$43,A31)</f>
        <v>0</v>
      </c>
      <c r="C31" s="3" t="n">
        <f aca="false">COUNTIFS(الأوردرات!$E$3:$E$43,A31,الأوردرات!$H$3:$H$43,"قيد التنفيذ")+COUNTIFS(الأوردرات!$E$3:$E$43,A31,الأوردرات!$H$3:$H$43,"مكتمل")</f>
        <v>0</v>
      </c>
    </row>
    <row r="32" customFormat="false" ht="15" hidden="false" customHeight="false" outlineLevel="0" collapsed="false">
      <c r="A32" s="4" t="s">
        <v>15</v>
      </c>
      <c r="B32" s="3" t="n">
        <f aca="false">COUNTIF(الأوردرات!$E$3:$E$43,A32)</f>
        <v>4</v>
      </c>
      <c r="C32" s="3" t="n">
        <f aca="false">COUNTIFS(الأوردرات!$E$3:$E$43,A32,الأوردرات!$H$3:$H$43,"قيد التنفيذ")+COUNTIFS(الأوردرات!$E$3:$E$43,A32,الأوردرات!$H$3:$H$43,"مكتمل")</f>
        <v>0</v>
      </c>
    </row>
    <row r="33" customFormat="false" ht="15" hidden="false" customHeight="false" outlineLevel="0" collapsed="false">
      <c r="A33" s="4" t="s">
        <v>81</v>
      </c>
      <c r="B33" s="3" t="n">
        <f aca="false">COUNTIF(الأوردرات!$E$3:$E$43,A33)</f>
        <v>0</v>
      </c>
      <c r="C33" s="3" t="n">
        <f aca="false">COUNTIFS(الأوردرات!$E$3:$E$43,A33,الأوردرات!$H$3:$H$43,"قيد التنفيذ")+COUNTIFS(الأوردرات!$E$3:$E$43,A33,الأوردرات!$H$3:$H$43,"مكتمل")</f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99</v>
      </c>
      <c r="B1" s="1"/>
      <c r="C1" s="1"/>
      <c r="D1" s="1"/>
    </row>
    <row r="3" customFormat="false" ht="15" hidden="false" customHeight="false" outlineLevel="0" collapsed="false">
      <c r="A3" s="2" t="s">
        <v>100</v>
      </c>
      <c r="B3" s="2" t="s">
        <v>93</v>
      </c>
      <c r="C3" s="2" t="s">
        <v>101</v>
      </c>
      <c r="D3" s="2" t="s">
        <v>102</v>
      </c>
    </row>
    <row r="4" customFormat="false" ht="25.5" hidden="false" customHeight="true" outlineLevel="0" collapsed="false">
      <c r="A4" s="4" t="s">
        <v>103</v>
      </c>
      <c r="B4" s="15"/>
      <c r="C4" s="3"/>
      <c r="D4" s="16" t="s">
        <v>104</v>
      </c>
    </row>
    <row r="5" customFormat="false" ht="25.5" hidden="false" customHeight="true" outlineLevel="0" collapsed="false">
      <c r="A5" s="4" t="s">
        <v>105</v>
      </c>
      <c r="B5" s="15"/>
      <c r="C5" s="12" t="str">
        <f aca="false">IFERROR(B5/B4,"")</f>
        <v/>
      </c>
      <c r="D5" s="16" t="s">
        <v>104</v>
      </c>
    </row>
    <row r="6" customFormat="false" ht="25.5" hidden="false" customHeight="true" outlineLevel="0" collapsed="false">
      <c r="A6" s="4" t="s">
        <v>106</v>
      </c>
      <c r="B6" s="15"/>
      <c r="C6" s="12" t="str">
        <f aca="false">IFERROR(B6/B5,"")</f>
        <v/>
      </c>
      <c r="D6" s="16" t="s">
        <v>104</v>
      </c>
    </row>
    <row r="7" customFormat="false" ht="25.5" hidden="false" customHeight="true" outlineLevel="0" collapsed="false">
      <c r="A7" s="4" t="s">
        <v>107</v>
      </c>
      <c r="B7" s="3" t="n">
        <f aca="false">التحليل!B3</f>
        <v>11</v>
      </c>
      <c r="C7" s="12" t="str">
        <f aca="false">IFERROR(B7/B6,"")</f>
        <v/>
      </c>
      <c r="D7" s="16" t="s">
        <v>108</v>
      </c>
    </row>
    <row r="8" customFormat="false" ht="25.5" hidden="false" customHeight="true" outlineLevel="0" collapsed="false">
      <c r="A8" s="4" t="s">
        <v>109</v>
      </c>
      <c r="B8" s="15"/>
      <c r="C8" s="12" t="n">
        <f aca="false">IFERROR(B8/B7,"")</f>
        <v>0</v>
      </c>
      <c r="D8" s="16" t="s">
        <v>110</v>
      </c>
    </row>
    <row r="9" customFormat="false" ht="25.5" hidden="false" customHeight="true" outlineLevel="0" collapsed="false">
      <c r="A9" s="4" t="s">
        <v>111</v>
      </c>
      <c r="B9" s="3" t="n">
        <f aca="false">التحليل!B4</f>
        <v>1</v>
      </c>
      <c r="C9" s="12" t="str">
        <f aca="false">IFERROR(B9/B8,"")</f>
        <v/>
      </c>
      <c r="D9" s="16" t="s">
        <v>108</v>
      </c>
    </row>
    <row r="11" customFormat="false" ht="12.65" hidden="false" customHeight="false" outlineLevel="0" collapsed="false">
      <c r="A11" s="17" t="s">
        <v>112</v>
      </c>
      <c r="B11" s="17"/>
      <c r="C11" s="17"/>
      <c r="D11" s="17"/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2026-09-06T11:01:46Z</dcterms:created>
  <dc:creator>openpyxl</dc:creator>
  <dc:description/>
  <dc:language>en-US</dc:language>
  <cp:lastModifiedBy/>
  <dcterms:modified xsi:type="dcterms:W3CDTF">2026-09-06T11:01:46Z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